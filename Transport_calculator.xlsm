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E:\Papcka\pythonproject\Transport_calculator\"/>
    </mc:Choice>
  </mc:AlternateContent>
  <bookViews>
    <workbookView xWindow="0" yWindow="0" windowWidth="20490" windowHeight="9630" activeTab="1"/>
  </bookViews>
  <sheets>
    <sheet name="Главная" sheetId="1" r:id="rId1"/>
    <sheet name="История" sheetId="2" r:id="rId2"/>
    <sheet name="Справочники" sheetId="3" r:id="rId3"/>
    <sheet name="Перевозчик_1" sheetId="4" r:id="rId4"/>
    <sheet name="Перевозчик_2" sheetId="5" r:id="rId5"/>
    <sheet name="Перевозчик_3" sheetId="6" r:id="rId6"/>
    <sheet name="Перевозчик_4" sheetId="7" r:id="rId7"/>
    <sheet name="Перевозчик_5" sheetId="8" r:id="rId8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" i="1" l="1"/>
  <c r="B10" i="1"/>
  <c r="B9" i="1"/>
</calcChain>
</file>

<file path=xl/sharedStrings.xml><?xml version="1.0" encoding="utf-8"?>
<sst xmlns="http://schemas.openxmlformats.org/spreadsheetml/2006/main" count="139" uniqueCount="55">
  <si>
    <t>Типы ТС</t>
  </si>
  <si>
    <t>Грузовые</t>
  </si>
  <si>
    <t>Пассажирские</t>
  </si>
  <si>
    <t>Легковые</t>
  </si>
  <si>
    <t>Водные</t>
  </si>
  <si>
    <t>Перевозчики</t>
  </si>
  <si>
    <t>Перевозчик_1</t>
  </si>
  <si>
    <t>Перевозчик_2</t>
  </si>
  <si>
    <t>Перевозчик_3</t>
  </si>
  <si>
    <t>Перевозчик_4</t>
  </si>
  <si>
    <t>Перевозчик_5</t>
  </si>
  <si>
    <t>КАТЕГОРИЯ</t>
  </si>
  <si>
    <t>ЗНАЧЕНИЯ</t>
  </si>
  <si>
    <t>ПОЛЕ</t>
  </si>
  <si>
    <t>ЯЧЕЙКА</t>
  </si>
  <si>
    <t>ОПИСАНИЕ</t>
  </si>
  <si>
    <t>Тип ТС</t>
  </si>
  <si>
    <t>Название ТС</t>
  </si>
  <si>
    <t>Название терминала</t>
  </si>
  <si>
    <t>Название перевозчика</t>
  </si>
  <si>
    <t>Дата прихода</t>
  </si>
  <si>
    <t>Дата ухода</t>
  </si>
  <si>
    <t>Количество дней</t>
  </si>
  <si>
    <t>Сумма за простой</t>
  </si>
  <si>
    <t>Сумма за аренду</t>
  </si>
  <si>
    <t>B3</t>
  </si>
  <si>
    <t>B4</t>
  </si>
  <si>
    <t>Выпадающий список из Справочников</t>
  </si>
  <si>
    <t>Произвольный текст</t>
  </si>
  <si>
    <t>Формат даты</t>
  </si>
  <si>
    <r>
      <t>Формула:</t>
    </r>
    <r>
      <rPr>
        <sz val="8.8000000000000007"/>
        <color theme="1"/>
        <rFont val="Consolas"/>
        <family val="3"/>
        <charset val="204"/>
      </rPr>
      <t>=ЕСЛИ(B7&gt;B6;B7-B6+1;0)</t>
    </r>
  </si>
  <si>
    <t xml:space="preserve"> </t>
  </si>
  <si>
    <t>ПОКАЗАТЕЛЬ</t>
  </si>
  <si>
    <t>ГРУЗОВЫЕ</t>
  </si>
  <si>
    <t>ЛЕГКОВЫЕ</t>
  </si>
  <si>
    <t>ПАССАЖИРСКИЕ</t>
  </si>
  <si>
    <t>ВОДНЫЕ</t>
  </si>
  <si>
    <t>Валюта</t>
  </si>
  <si>
    <t>RUB</t>
  </si>
  <si>
    <t>Бесплатные дни простоя</t>
  </si>
  <si>
    <t>Стоимость первых дней</t>
  </si>
  <si>
    <t>Стоимость средних дней (до 10)</t>
  </si>
  <si>
    <t>Стоимость поздних дней (&gt;10)</t>
  </si>
  <si>
    <t>Бесплатные дни аренды</t>
  </si>
  <si>
    <t>Стоимость аренды после</t>
  </si>
  <si>
    <t>№</t>
  </si>
  <si>
    <t>ДАТА РАСЧЕТА</t>
  </si>
  <si>
    <t>НАЗВАНИЕ ТС</t>
  </si>
  <si>
    <t>ТИП ТС</t>
  </si>
  <si>
    <t>ПЕРЕВОЗЧИК</t>
  </si>
  <si>
    <t>ДАТА ПРИХОДА</t>
  </si>
  <si>
    <t>ДАТА УХОДА</t>
  </si>
  <si>
    <t>ДНЕЙ НА ТЕРМИНАЛЕ</t>
  </si>
  <si>
    <t>АРЕНДА</t>
  </si>
  <si>
    <t>ПРОСТОЙ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</si>
</sst>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9" formatCode="d/m/yyyy;@"/>
  </numFmts>
  <fonts count="4" x14ac:knownFonts="1">
    <font>
      <sz val="11"/>
      <color theme="1"/>
      <name val="Calibri"/>
      <family val="2"/>
      <charset val="204"/>
      <scheme val="minor"/>
    </font>
    <font>
      <sz val="11"/>
      <color theme="1"/>
      <name val="Arial"/>
      <family val="2"/>
      <charset val="204"/>
    </font>
    <font>
      <sz val="11"/>
      <color rgb="FF1D1D20"/>
      <name val="Arial"/>
      <family val="2"/>
      <charset val="204"/>
    </font>
    <font>
      <sz val="8.8000000000000007"/>
      <color theme="1"/>
      <name val="Consolas"/>
      <family val="3"/>
      <charset val="204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8">
    <xf numFmtId="0" fontId="0" fillId="0" borderId="0" xfId="0"/>
    <xf numFmtId="0" fontId="0" fillId="2" borderId="0" xfId="0" applyFill="1"/>
    <xf numFmtId="0" fontId="1" fillId="2" borderId="0" xfId="0" applyFont="1" applyFill="1" applyAlignment="1">
      <alignment horizontal="left" vertical="center" indent="1"/>
    </xf>
    <xf numFmtId="0" fontId="2" fillId="0" borderId="0" xfId="0" applyFont="1"/>
    <xf numFmtId="0" fontId="0" fillId="0" borderId="0" xfId="0" applyAlignment="1">
      <alignment wrapText="1"/>
    </xf>
    <xf numFmtId="0" fontId="0" fillId="0" borderId="0" xfId="0" quotePrefix="1" applyAlignment="1">
      <alignment wrapText="1"/>
    </xf>
    <xf numFmtId="14" fontId="0" fillId="0" borderId="0" xfId="0" applyNumberFormat="1"/>
    <xf numFmtId="169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11</xdr:row>
          <xdr:rowOff>152400</xdr:rowOff>
        </xdr:from>
        <xdr:to>
          <xdr:col>1</xdr:col>
          <xdr:colOff>9525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</a:rPr>
                <a:t>Добавить запись в историю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C10"/>
  <sheetViews>
    <sheetView workbookViewId="0">
      <selection activeCell="B17" sqref="B17"/>
    </sheetView>
  </sheetViews>
  <sheetFormatPr defaultRowHeight="15" x14ac:dyDescent="0.25"/>
  <cols>
    <col min="1" max="1" width="25.7109375" customWidth="1"/>
    <col min="2" max="2" width="22.42578125" customWidth="1"/>
    <col min="3" max="3" width="40.7109375" customWidth="1"/>
  </cols>
  <sheetData>
    <row r="1" spans="1:3" x14ac:dyDescent="0.25">
      <c r="A1" t="s">
        <v>13</v>
      </c>
      <c r="B1" t="s">
        <v>14</v>
      </c>
      <c r="C1" t="s">
        <v>15</v>
      </c>
    </row>
    <row r="2" spans="1:3" x14ac:dyDescent="0.25">
      <c r="A2" t="s">
        <v>16</v>
      </c>
      <c r="B2" t="s">
        <v>1</v>
      </c>
      <c r="C2" t="s">
        <v>27</v>
      </c>
    </row>
    <row r="3" spans="1:3" x14ac:dyDescent="0.25">
      <c r="A3" t="s">
        <v>17</v>
      </c>
      <c r="B3" t="s">
        <v>25</v>
      </c>
      <c r="C3" s="3" t="s">
        <v>28</v>
      </c>
    </row>
    <row r="4" spans="1:3" x14ac:dyDescent="0.25">
      <c r="A4" t="s">
        <v>18</v>
      </c>
      <c r="B4" t="s">
        <v>26</v>
      </c>
      <c r="C4" s="3" t="s">
        <v>28</v>
      </c>
    </row>
    <row r="5" spans="1:3" x14ac:dyDescent="0.25">
      <c r="A5" t="s">
        <v>19</v>
      </c>
      <c r="B5" t="s">
        <v>6</v>
      </c>
      <c r="C5" s="3" t="s">
        <v>27</v>
      </c>
    </row>
    <row r="6" spans="1:3" x14ac:dyDescent="0.25">
      <c r="A6" t="s">
        <v>20</v>
      </c>
      <c r="B6" s="7">
        <v>45748</v>
      </c>
      <c r="C6" s="3" t="s">
        <v>29</v>
      </c>
    </row>
    <row r="7" spans="1:3" x14ac:dyDescent="0.25">
      <c r="A7" t="s">
        <v>21</v>
      </c>
      <c r="B7" s="7">
        <v>45759</v>
      </c>
      <c r="C7" s="3" t="s">
        <v>29</v>
      </c>
    </row>
    <row r="8" spans="1:3" x14ac:dyDescent="0.25">
      <c r="A8" t="s">
        <v>22</v>
      </c>
      <c r="B8">
        <f>IF(B7&gt;B6, B7-B6+1, 0)</f>
        <v>12</v>
      </c>
      <c r="C8" s="3" t="s">
        <v>30</v>
      </c>
    </row>
    <row r="9" spans="1:3" x14ac:dyDescent="0.25">
      <c r="A9" t="s">
        <v>23</v>
      </c>
      <c r="B9" s="5">
        <f ca="1">IF(B8&lt;=INDEX(INDIRECT("'"&amp;B5&amp;"'!$B$3:$E$3"),MATCH(B2,INDIRECT("'"&amp;B5&amp;"'!$B$1:$E$1"),0)),0,IF(B8&lt;=10,INDEX(INDIRECT("'"&amp;B5&amp;"'!$B$5:$E$5"),MATCH(B2,INDIRECT("'"&amp;B5&amp;"'!$B$1:$E$1"),0))*(B8-INDEX(INDIRECT("'"&amp;B5&amp;"'!$B$3:$E$3"),MATCH(B2,INDIRECT("'"&amp;B5&amp;"'!$B$1:$E$1"),0))),IF(B8&lt;=20,INDEX(INDIRECT("'"&amp;B5&amp;"'!$B$6:$E$6"),MATCH(B2,INDIRECT("'"&amp;B5&amp;"'!$B$1:$E$1"),0))*(B8-INDEX(INDIRECT("'"&amp;B5&amp;"'!$B$3:$E$3"),MATCH(B2,INDIRECT("'"&amp;B5&amp;"'!$B$1:$E$1"),0))),INDEX(INDIRECT("'"&amp;B5&amp;"'!$B$7:$E$7"),MATCH(B2,INDIRECT("'"&amp;B5&amp;"'!$B$1:$E$1"),0))*(B8-INDEX(INDIRECT("'"&amp;B5&amp;"'!$B$3:$E$3"),MATCH(B2,INDIRECT("'"&amp;B5&amp;"'!$B$1:$E$1"),0))))))</f>
        <v>5000</v>
      </c>
    </row>
    <row r="10" spans="1:3" x14ac:dyDescent="0.25">
      <c r="A10" t="s">
        <v>24</v>
      </c>
      <c r="B10" s="5">
        <f ca="1">MAX(0, B8 - INDEX(INDIRECT("'" &amp; B5 &amp; "'!$B$8:$E$8"), MATCH(B2, INDIRECT("'" &amp; B5 &amp; "'!$B$1:$E$1"), 0))) * INDEX(INDIRECT("'" &amp; B5 &amp; "'!$B$8:$E$8"), MATCH(B2, INDIRECT("'" &amp; B5 &amp; "'!$B$1:$E$1"), 0))</f>
        <v>20</v>
      </c>
      <c r="C10" s="4" t="s">
        <v>31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ДобавитьЗаписьВИсторию">
                <anchor moveWithCells="1" sizeWithCells="1">
                  <from>
                    <xdr:col>0</xdr:col>
                    <xdr:colOff>9525</xdr:colOff>
                    <xdr:row>11</xdr:row>
                    <xdr:rowOff>152400</xdr:rowOff>
                  </from>
                  <to>
                    <xdr:col>1</xdr:col>
                    <xdr:colOff>9525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Справочники!$B$2:$B$5</xm:f>
          </x14:formula1>
          <xm:sqref>B2</xm:sqref>
        </x14:dataValidation>
        <x14:dataValidation type="list" allowBlank="1" showInputMessage="1" showErrorMessage="1">
          <x14:formula1>
            <xm:f>Справочники!$B$6:$B$10</xm:f>
          </x14:formula1>
          <xm:sqref>B5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J5"/>
  <sheetViews>
    <sheetView tabSelected="1" workbookViewId="0">
      <selection activeCell="E21" sqref="E21"/>
    </sheetView>
  </sheetViews>
  <sheetFormatPr defaultRowHeight="15" x14ac:dyDescent="0.25"/>
  <cols>
    <col min="2" max="2" width="14.5703125" customWidth="1"/>
    <col min="3" max="3" width="25.5703125" customWidth="1"/>
    <col min="4" max="4" width="20" customWidth="1"/>
    <col min="5" max="5" width="26.28515625" customWidth="1"/>
    <col min="6" max="6" width="16.140625" customWidth="1"/>
    <col min="7" max="7" width="13.7109375" customWidth="1"/>
    <col min="8" max="8" width="20.42578125" customWidth="1"/>
    <col min="9" max="10" width="11.42578125" customWidth="1"/>
  </cols>
  <sheetData>
    <row r="1" spans="1:10" x14ac:dyDescent="0.25">
      <c r="A1" t="s">
        <v>45</v>
      </c>
      <c r="B1" t="s">
        <v>46</v>
      </c>
      <c r="C1" t="s">
        <v>47</v>
      </c>
      <c r="D1" t="s">
        <v>48</v>
      </c>
      <c r="E1" t="s">
        <v>49</v>
      </c>
      <c r="F1" t="s">
        <v>50</v>
      </c>
      <c r="G1" t="s">
        <v>51</v>
      </c>
      <c r="H1" t="s">
        <v>52</v>
      </c>
      <c r="I1" t="s">
        <v>53</v>
      </c>
      <c r="J1" t="s">
        <v>54</v>
      </c>
    </row>
    <row r="2" spans="1:10" x14ac:dyDescent="0.25">
      <c r="A2">
        <v>1</v>
      </c>
      <c r="B2" s="6">
        <v>45825</v>
      </c>
      <c r="C2" t="s">
        <v>25</v>
      </c>
      <c r="D2" t="s">
        <v>1</v>
      </c>
      <c r="E2" t="s">
        <v>6</v>
      </c>
      <c r="F2" s="6">
        <v>45323</v>
      </c>
      <c r="G2" s="6">
        <v>45334</v>
      </c>
      <c r="H2">
        <v>12</v>
      </c>
      <c r="I2" t="e">
        <v>#NAME?</v>
      </c>
      <c r="J2" t="e">
        <v>#NAME?</v>
      </c>
    </row>
    <row r="3" spans="1:10" x14ac:dyDescent="0.25">
      <c r="A3">
        <v>2</v>
      </c>
      <c r="B3" s="6">
        <v>45825</v>
      </c>
      <c r="C3" t="s">
        <v>25</v>
      </c>
      <c r="D3" t="s">
        <v>1</v>
      </c>
      <c r="E3" t="s">
        <v>6</v>
      </c>
      <c r="F3" s="6">
        <v>45323</v>
      </c>
      <c r="G3" s="6">
        <v>45334</v>
      </c>
      <c r="H3">
        <v>12</v>
      </c>
      <c r="I3">
        <v>5000</v>
      </c>
      <c r="J3">
        <v>0</v>
      </c>
    </row>
    <row r="4" spans="1:10" x14ac:dyDescent="0.25">
      <c r="A4">
        <v>3</v>
      </c>
      <c r="B4" s="6">
        <v>45825</v>
      </c>
      <c r="C4" t="s">
        <v>25</v>
      </c>
      <c r="D4" t="s">
        <v>1</v>
      </c>
      <c r="E4" t="s">
        <v>7</v>
      </c>
      <c r="F4" s="6">
        <v>45749</v>
      </c>
      <c r="G4" s="6">
        <v>45769</v>
      </c>
      <c r="H4">
        <v>21</v>
      </c>
      <c r="I4">
        <v>190</v>
      </c>
      <c r="J4">
        <v>0</v>
      </c>
    </row>
    <row r="5" spans="1:10" x14ac:dyDescent="0.25">
      <c r="A5">
        <v>4</v>
      </c>
      <c r="B5" s="6">
        <v>45825</v>
      </c>
      <c r="C5" t="s">
        <v>25</v>
      </c>
      <c r="D5" t="s">
        <v>1</v>
      </c>
      <c r="E5" t="s">
        <v>6</v>
      </c>
      <c r="F5" s="6">
        <v>45748</v>
      </c>
      <c r="G5" s="6">
        <v>45759</v>
      </c>
      <c r="H5">
        <v>12</v>
      </c>
      <c r="I5">
        <v>5000</v>
      </c>
      <c r="J5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B6" sqref="B6"/>
    </sheetView>
  </sheetViews>
  <sheetFormatPr defaultRowHeight="15" x14ac:dyDescent="0.25"/>
  <cols>
    <col min="1" max="1" width="16.85546875" customWidth="1"/>
    <col min="2" max="2" width="30.85546875" customWidth="1"/>
  </cols>
  <sheetData>
    <row r="1" spans="1:2" x14ac:dyDescent="0.25">
      <c r="A1" t="s">
        <v>11</v>
      </c>
      <c r="B1" t="s">
        <v>12</v>
      </c>
    </row>
    <row r="2" spans="1:2" x14ac:dyDescent="0.25">
      <c r="A2" t="s">
        <v>0</v>
      </c>
      <c r="B2" t="s">
        <v>1</v>
      </c>
    </row>
    <row r="3" spans="1:2" x14ac:dyDescent="0.25">
      <c r="B3" t="s">
        <v>3</v>
      </c>
    </row>
    <row r="4" spans="1:2" x14ac:dyDescent="0.25">
      <c r="B4" t="s">
        <v>2</v>
      </c>
    </row>
    <row r="5" spans="1:2" x14ac:dyDescent="0.25">
      <c r="B5" t="s">
        <v>4</v>
      </c>
    </row>
    <row r="6" spans="1:2" x14ac:dyDescent="0.25">
      <c r="A6" t="s">
        <v>5</v>
      </c>
      <c r="B6" t="s">
        <v>6</v>
      </c>
    </row>
    <row r="7" spans="1:2" x14ac:dyDescent="0.25">
      <c r="B7" t="s">
        <v>7</v>
      </c>
    </row>
    <row r="8" spans="1:2" x14ac:dyDescent="0.25">
      <c r="B8" t="s">
        <v>8</v>
      </c>
    </row>
    <row r="9" spans="1:2" x14ac:dyDescent="0.25">
      <c r="B9" t="s">
        <v>9</v>
      </c>
    </row>
    <row r="10" spans="1:2" x14ac:dyDescent="0.25">
      <c r="B10" t="s">
        <v>10</v>
      </c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E21"/>
  <sheetViews>
    <sheetView workbookViewId="0">
      <selection activeCell="B8" sqref="B8"/>
    </sheetView>
  </sheetViews>
  <sheetFormatPr defaultRowHeight="15" x14ac:dyDescent="0.25"/>
  <cols>
    <col min="1" max="1" width="38.42578125" customWidth="1"/>
    <col min="2" max="2" width="17.5703125" customWidth="1"/>
    <col min="3" max="3" width="18.28515625" customWidth="1"/>
    <col min="4" max="4" width="22" customWidth="1"/>
    <col min="5" max="5" width="17.7109375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 t="s">
        <v>37</v>
      </c>
      <c r="B2" t="s">
        <v>38</v>
      </c>
      <c r="C2" t="s">
        <v>38</v>
      </c>
      <c r="D2" t="s">
        <v>38</v>
      </c>
      <c r="E2" t="s">
        <v>38</v>
      </c>
    </row>
    <row r="3" spans="1:5" x14ac:dyDescent="0.25">
      <c r="A3" t="s">
        <v>39</v>
      </c>
      <c r="B3">
        <v>2</v>
      </c>
      <c r="C3">
        <v>2</v>
      </c>
      <c r="D3">
        <v>3</v>
      </c>
      <c r="E3">
        <v>5</v>
      </c>
    </row>
    <row r="4" spans="1:5" x14ac:dyDescent="0.25">
      <c r="A4" t="s">
        <v>40</v>
      </c>
      <c r="B4">
        <v>200</v>
      </c>
      <c r="C4">
        <v>300</v>
      </c>
      <c r="D4">
        <v>150</v>
      </c>
      <c r="E4">
        <v>100</v>
      </c>
    </row>
    <row r="5" spans="1:5" x14ac:dyDescent="0.25">
      <c r="A5" t="s">
        <v>41</v>
      </c>
      <c r="B5">
        <v>400</v>
      </c>
      <c r="C5">
        <v>450</v>
      </c>
      <c r="D5">
        <v>300</v>
      </c>
      <c r="E5">
        <v>200</v>
      </c>
    </row>
    <row r="6" spans="1:5" x14ac:dyDescent="0.25">
      <c r="A6" t="s">
        <v>42</v>
      </c>
      <c r="B6">
        <v>500</v>
      </c>
      <c r="C6">
        <v>600</v>
      </c>
      <c r="D6">
        <v>415</v>
      </c>
      <c r="E6">
        <v>300</v>
      </c>
    </row>
    <row r="7" spans="1:5" x14ac:dyDescent="0.25">
      <c r="A7" t="s">
        <v>43</v>
      </c>
      <c r="B7">
        <v>10</v>
      </c>
      <c r="C7">
        <v>10</v>
      </c>
      <c r="D7">
        <v>15</v>
      </c>
      <c r="E7">
        <v>20</v>
      </c>
    </row>
    <row r="8" spans="1:5" x14ac:dyDescent="0.25">
      <c r="A8" t="s">
        <v>44</v>
      </c>
      <c r="B8">
        <v>10</v>
      </c>
      <c r="C8">
        <v>12</v>
      </c>
      <c r="D8">
        <v>8</v>
      </c>
      <c r="E8">
        <v>5</v>
      </c>
    </row>
    <row r="17" spans="1:5" x14ac:dyDescent="0.25">
      <c r="A17" s="2"/>
      <c r="B17" s="2"/>
      <c r="C17" s="2"/>
      <c r="D17" s="2"/>
      <c r="E17" s="2"/>
    </row>
    <row r="18" spans="1:5" x14ac:dyDescent="0.25">
      <c r="A18" s="2"/>
      <c r="B18" s="2"/>
      <c r="C18" s="2"/>
      <c r="D18" s="2"/>
      <c r="E18" s="2"/>
    </row>
    <row r="19" spans="1:5" x14ac:dyDescent="0.25">
      <c r="A19" s="2"/>
      <c r="B19" s="2"/>
      <c r="C19" s="2"/>
      <c r="D19" s="2"/>
      <c r="E19" s="2"/>
    </row>
    <row r="20" spans="1:5" x14ac:dyDescent="0.25">
      <c r="A20" s="2"/>
      <c r="B20" s="2"/>
      <c r="C20" s="2"/>
      <c r="D20" s="2"/>
      <c r="E20" s="2"/>
    </row>
    <row r="21" spans="1:5" x14ac:dyDescent="0.25">
      <c r="A21" s="2"/>
      <c r="B21" s="1"/>
      <c r="C21" s="1"/>
      <c r="D21" s="1"/>
      <c r="E21" s="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E8"/>
  <sheetViews>
    <sheetView workbookViewId="0">
      <selection activeCell="D15" sqref="D15"/>
    </sheetView>
  </sheetViews>
  <sheetFormatPr defaultRowHeight="15" x14ac:dyDescent="0.25"/>
  <cols>
    <col min="1" max="1" width="30.85546875" customWidth="1"/>
    <col min="2" max="4" width="14" customWidth="1"/>
    <col min="5" max="5" width="13.7109375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 t="s">
        <v>37</v>
      </c>
      <c r="B2" t="s">
        <v>38</v>
      </c>
      <c r="C2" t="s">
        <v>38</v>
      </c>
      <c r="D2" t="s">
        <v>38</v>
      </c>
      <c r="E2" t="s">
        <v>38</v>
      </c>
    </row>
    <row r="3" spans="1:5" x14ac:dyDescent="0.25">
      <c r="A3" t="s">
        <v>39</v>
      </c>
      <c r="B3">
        <v>2</v>
      </c>
      <c r="C3">
        <v>2</v>
      </c>
      <c r="D3">
        <v>3</v>
      </c>
      <c r="E3">
        <v>5</v>
      </c>
    </row>
    <row r="4" spans="1:5" x14ac:dyDescent="0.25">
      <c r="A4" t="s">
        <v>40</v>
      </c>
      <c r="B4">
        <v>200</v>
      </c>
      <c r="C4">
        <v>300</v>
      </c>
      <c r="D4">
        <v>150</v>
      </c>
      <c r="E4">
        <v>100</v>
      </c>
    </row>
    <row r="5" spans="1:5" x14ac:dyDescent="0.25">
      <c r="A5" t="s">
        <v>41</v>
      </c>
      <c r="B5">
        <v>400</v>
      </c>
      <c r="C5">
        <v>450</v>
      </c>
      <c r="D5">
        <v>300</v>
      </c>
      <c r="E5">
        <v>200</v>
      </c>
    </row>
    <row r="6" spans="1:5" x14ac:dyDescent="0.25">
      <c r="A6" t="s">
        <v>42</v>
      </c>
      <c r="B6">
        <v>500</v>
      </c>
      <c r="C6">
        <v>600</v>
      </c>
      <c r="D6">
        <v>415</v>
      </c>
      <c r="E6">
        <v>300</v>
      </c>
    </row>
    <row r="7" spans="1:5" x14ac:dyDescent="0.25">
      <c r="A7" t="s">
        <v>43</v>
      </c>
      <c r="B7">
        <v>10</v>
      </c>
      <c r="C7">
        <v>10</v>
      </c>
      <c r="D7">
        <v>15</v>
      </c>
      <c r="E7">
        <v>20</v>
      </c>
    </row>
    <row r="8" spans="1:5" x14ac:dyDescent="0.25">
      <c r="A8" t="s">
        <v>44</v>
      </c>
      <c r="B8">
        <v>10</v>
      </c>
      <c r="C8">
        <v>12</v>
      </c>
      <c r="D8">
        <v>8</v>
      </c>
      <c r="E8">
        <v>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E8"/>
  <sheetViews>
    <sheetView workbookViewId="0">
      <selection activeCell="B16" sqref="B16"/>
    </sheetView>
  </sheetViews>
  <sheetFormatPr defaultRowHeight="15" x14ac:dyDescent="0.25"/>
  <cols>
    <col min="1" max="1" width="30" customWidth="1"/>
    <col min="2" max="2" width="13.5703125" customWidth="1"/>
    <col min="3" max="3" width="13.7109375" customWidth="1"/>
    <col min="4" max="4" width="13.42578125" customWidth="1"/>
    <col min="5" max="5" width="13.5703125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 t="s">
        <v>37</v>
      </c>
      <c r="B2" t="s">
        <v>38</v>
      </c>
      <c r="C2" t="s">
        <v>38</v>
      </c>
      <c r="D2" t="s">
        <v>38</v>
      </c>
      <c r="E2" t="s">
        <v>38</v>
      </c>
    </row>
    <row r="3" spans="1:5" x14ac:dyDescent="0.25">
      <c r="A3" t="s">
        <v>39</v>
      </c>
      <c r="B3">
        <v>2</v>
      </c>
      <c r="C3">
        <v>2</v>
      </c>
      <c r="D3">
        <v>3</v>
      </c>
      <c r="E3">
        <v>5</v>
      </c>
    </row>
    <row r="4" spans="1:5" x14ac:dyDescent="0.25">
      <c r="A4" t="s">
        <v>40</v>
      </c>
      <c r="B4">
        <v>200</v>
      </c>
      <c r="C4">
        <v>300</v>
      </c>
      <c r="D4">
        <v>150</v>
      </c>
      <c r="E4">
        <v>100</v>
      </c>
    </row>
    <row r="5" spans="1:5" x14ac:dyDescent="0.25">
      <c r="A5" t="s">
        <v>41</v>
      </c>
      <c r="B5">
        <v>400</v>
      </c>
      <c r="C5">
        <v>450</v>
      </c>
      <c r="D5">
        <v>300</v>
      </c>
      <c r="E5">
        <v>200</v>
      </c>
    </row>
    <row r="6" spans="1:5" x14ac:dyDescent="0.25">
      <c r="A6" t="s">
        <v>42</v>
      </c>
      <c r="B6">
        <v>500</v>
      </c>
      <c r="C6">
        <v>600</v>
      </c>
      <c r="D6">
        <v>415</v>
      </c>
      <c r="E6">
        <v>300</v>
      </c>
    </row>
    <row r="7" spans="1:5" x14ac:dyDescent="0.25">
      <c r="A7" t="s">
        <v>43</v>
      </c>
      <c r="B7">
        <v>10</v>
      </c>
      <c r="C7">
        <v>10</v>
      </c>
      <c r="D7">
        <v>15</v>
      </c>
      <c r="E7">
        <v>20</v>
      </c>
    </row>
    <row r="8" spans="1:5" x14ac:dyDescent="0.25">
      <c r="A8" t="s">
        <v>44</v>
      </c>
      <c r="B8">
        <v>10</v>
      </c>
      <c r="C8">
        <v>12</v>
      </c>
      <c r="D8">
        <v>8</v>
      </c>
      <c r="E8">
        <v>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E8"/>
  <sheetViews>
    <sheetView workbookViewId="0">
      <selection activeCell="A15" sqref="A15"/>
    </sheetView>
  </sheetViews>
  <sheetFormatPr defaultRowHeight="15" x14ac:dyDescent="0.25"/>
  <cols>
    <col min="1" max="1" width="30.5703125" customWidth="1"/>
    <col min="2" max="2" width="14.85546875" customWidth="1"/>
    <col min="3" max="3" width="14.28515625" customWidth="1"/>
    <col min="4" max="4" width="15.42578125" customWidth="1"/>
    <col min="5" max="5" width="13.85546875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 t="s">
        <v>37</v>
      </c>
      <c r="B2" t="s">
        <v>38</v>
      </c>
      <c r="C2" t="s">
        <v>38</v>
      </c>
      <c r="D2" t="s">
        <v>38</v>
      </c>
      <c r="E2" t="s">
        <v>38</v>
      </c>
    </row>
    <row r="3" spans="1:5" x14ac:dyDescent="0.25">
      <c r="A3" t="s">
        <v>39</v>
      </c>
      <c r="B3">
        <v>2</v>
      </c>
      <c r="C3">
        <v>2</v>
      </c>
      <c r="D3">
        <v>3</v>
      </c>
      <c r="E3">
        <v>5</v>
      </c>
    </row>
    <row r="4" spans="1:5" x14ac:dyDescent="0.25">
      <c r="A4" t="s">
        <v>40</v>
      </c>
      <c r="B4">
        <v>200</v>
      </c>
      <c r="C4">
        <v>300</v>
      </c>
      <c r="D4">
        <v>150</v>
      </c>
      <c r="E4">
        <v>100</v>
      </c>
    </row>
    <row r="5" spans="1:5" x14ac:dyDescent="0.25">
      <c r="A5" t="s">
        <v>41</v>
      </c>
      <c r="B5">
        <v>400</v>
      </c>
      <c r="C5">
        <v>450</v>
      </c>
      <c r="D5">
        <v>300</v>
      </c>
      <c r="E5">
        <v>200</v>
      </c>
    </row>
    <row r="6" spans="1:5" x14ac:dyDescent="0.25">
      <c r="A6" t="s">
        <v>42</v>
      </c>
      <c r="B6">
        <v>500</v>
      </c>
      <c r="C6">
        <v>600</v>
      </c>
      <c r="D6">
        <v>415</v>
      </c>
      <c r="E6">
        <v>300</v>
      </c>
    </row>
    <row r="7" spans="1:5" x14ac:dyDescent="0.25">
      <c r="A7" t="s">
        <v>43</v>
      </c>
      <c r="B7">
        <v>10</v>
      </c>
      <c r="C7">
        <v>10</v>
      </c>
      <c r="D7">
        <v>15</v>
      </c>
      <c r="E7">
        <v>20</v>
      </c>
    </row>
    <row r="8" spans="1:5" x14ac:dyDescent="0.25">
      <c r="A8" t="s">
        <v>44</v>
      </c>
      <c r="B8">
        <v>10</v>
      </c>
      <c r="C8">
        <v>12</v>
      </c>
      <c r="D8">
        <v>8</v>
      </c>
      <c r="E8">
        <v>5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:E8"/>
  <sheetViews>
    <sheetView workbookViewId="0">
      <selection activeCell="D12" sqref="D12"/>
    </sheetView>
  </sheetViews>
  <sheetFormatPr defaultRowHeight="15" x14ac:dyDescent="0.25"/>
  <cols>
    <col min="1" max="1" width="31.140625" customWidth="1"/>
    <col min="2" max="3" width="13.42578125" customWidth="1"/>
    <col min="4" max="4" width="13.85546875" customWidth="1"/>
    <col min="5" max="5" width="14.140625" customWidth="1"/>
  </cols>
  <sheetData>
    <row r="1" spans="1:5" x14ac:dyDescent="0.25">
      <c r="A1" t="s">
        <v>32</v>
      </c>
      <c r="B1" t="s">
        <v>33</v>
      </c>
      <c r="C1" t="s">
        <v>34</v>
      </c>
      <c r="D1" t="s">
        <v>35</v>
      </c>
      <c r="E1" t="s">
        <v>36</v>
      </c>
    </row>
    <row r="2" spans="1:5" x14ac:dyDescent="0.25">
      <c r="A2" t="s">
        <v>37</v>
      </c>
      <c r="B2" t="s">
        <v>38</v>
      </c>
      <c r="C2" t="s">
        <v>38</v>
      </c>
      <c r="D2" t="s">
        <v>38</v>
      </c>
      <c r="E2" t="s">
        <v>38</v>
      </c>
    </row>
    <row r="3" spans="1:5" x14ac:dyDescent="0.25">
      <c r="A3" t="s">
        <v>39</v>
      </c>
      <c r="B3">
        <v>2</v>
      </c>
      <c r="C3">
        <v>2</v>
      </c>
      <c r="D3">
        <v>3</v>
      </c>
      <c r="E3">
        <v>5</v>
      </c>
    </row>
    <row r="4" spans="1:5" x14ac:dyDescent="0.25">
      <c r="A4" t="s">
        <v>40</v>
      </c>
      <c r="B4">
        <v>200</v>
      </c>
      <c r="C4">
        <v>300</v>
      </c>
      <c r="D4">
        <v>150</v>
      </c>
      <c r="E4">
        <v>100</v>
      </c>
    </row>
    <row r="5" spans="1:5" x14ac:dyDescent="0.25">
      <c r="A5" t="s">
        <v>41</v>
      </c>
      <c r="B5">
        <v>400</v>
      </c>
      <c r="C5">
        <v>450</v>
      </c>
      <c r="D5">
        <v>300</v>
      </c>
      <c r="E5">
        <v>200</v>
      </c>
    </row>
    <row r="6" spans="1:5" x14ac:dyDescent="0.25">
      <c r="A6" t="s">
        <v>42</v>
      </c>
      <c r="B6">
        <v>500</v>
      </c>
      <c r="C6">
        <v>600</v>
      </c>
      <c r="D6">
        <v>415</v>
      </c>
      <c r="E6">
        <v>300</v>
      </c>
    </row>
    <row r="7" spans="1:5" x14ac:dyDescent="0.25">
      <c r="A7" t="s">
        <v>43</v>
      </c>
      <c r="B7">
        <v>10</v>
      </c>
      <c r="C7">
        <v>10</v>
      </c>
      <c r="D7">
        <v>15</v>
      </c>
      <c r="E7">
        <v>20</v>
      </c>
    </row>
    <row r="8" spans="1:5" x14ac:dyDescent="0.25">
      <c r="A8" t="s">
        <v>44</v>
      </c>
      <c r="B8">
        <v>10</v>
      </c>
      <c r="C8">
        <v>12</v>
      </c>
      <c r="D8">
        <v>8</v>
      </c>
      <c r="E8">
        <v>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Главная</vt:lpstr>
      <vt:lpstr>История</vt:lpstr>
      <vt:lpstr>Справочники</vt:lpstr>
      <vt:lpstr>Перевозчик_1</vt:lpstr>
      <vt:lpstr>Перевозчик_2</vt:lpstr>
      <vt:lpstr>Перевозчик_3</vt:lpstr>
      <vt:lpstr>Перевозчик_4</vt:lpstr>
      <vt:lpstr>Перевозчик_5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Birsk</dc:creator>
  <cp:lastModifiedBy>Birsk</cp:lastModifiedBy>
  <dcterms:created xsi:type="dcterms:W3CDTF">2025-06-17T10:27:57Z</dcterms:created>
  <dcterms:modified xsi:type="dcterms:W3CDTF">2025-06-17T13:04:58Z</dcterms:modified>
</cp:coreProperties>
</file>