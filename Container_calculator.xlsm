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PythonProject\заказы от юду\Transport_calculator\"/>
    </mc:Choice>
  </mc:AlternateContent>
  <bookViews>
    <workbookView xWindow="0" yWindow="0" windowWidth="15345" windowHeight="4575"/>
  </bookViews>
  <sheets>
    <sheet name="Главная" sheetId="10" r:id="rId1"/>
    <sheet name="История" sheetId="2" r:id="rId2"/>
    <sheet name="Справочники" sheetId="3" r:id="rId3"/>
    <sheet name="Эх прокачу!" sheetId="4" r:id="rId4"/>
    <sheet name="Перевозчик_2" sheetId="5" r:id="rId5"/>
    <sheet name="Перевозчик_3" sheetId="6" r:id="rId6"/>
    <sheet name="Перевозчик_4" sheetId="9" r:id="rId7"/>
    <sheet name="Перевозчик_5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0" l="1"/>
  <c r="B8" i="10"/>
  <c r="B9" i="10"/>
  <c r="B10" i="10"/>
  <c r="B11" i="10" l="1"/>
</calcChain>
</file>

<file path=xl/sharedStrings.xml><?xml version="1.0" encoding="utf-8"?>
<sst xmlns="http://schemas.openxmlformats.org/spreadsheetml/2006/main" count="151" uniqueCount="62">
  <si>
    <t>Типы ТС</t>
  </si>
  <si>
    <t>Перевозчики</t>
  </si>
  <si>
    <t>Перевозчик_2</t>
  </si>
  <si>
    <t>Перевозчик_3</t>
  </si>
  <si>
    <t>Перевозчик_4</t>
  </si>
  <si>
    <t>Перевозчик_5</t>
  </si>
  <si>
    <t>КАТЕГОРИЯ</t>
  </si>
  <si>
    <t>ЗНАЧЕНИЯ</t>
  </si>
  <si>
    <t>ПОЛЕ</t>
  </si>
  <si>
    <t>ЯЧЕЙКА</t>
  </si>
  <si>
    <t>ОПИСАНИЕ</t>
  </si>
  <si>
    <t>Название перевозчика</t>
  </si>
  <si>
    <t>Дата прихода</t>
  </si>
  <si>
    <t>Дата ухода</t>
  </si>
  <si>
    <t>Количество дней</t>
  </si>
  <si>
    <t>Сумма за простой</t>
  </si>
  <si>
    <t>Сумма за аренду</t>
  </si>
  <si>
    <t>ПОКАЗАТЕЛЬ</t>
  </si>
  <si>
    <t>Валюта</t>
  </si>
  <si>
    <t>RUB</t>
  </si>
  <si>
    <t>Бесплатные дни простоя</t>
  </si>
  <si>
    <t>Бесплатные дни аренды</t>
  </si>
  <si>
    <t>Стоимость аренды после</t>
  </si>
  <si>
    <t>№</t>
  </si>
  <si>
    <t>ДАТА РАСЧЕТА</t>
  </si>
  <si>
    <t>ТИП ТС</t>
  </si>
  <si>
    <t>ПЕРЕВОЗЧИК</t>
  </si>
  <si>
    <t>ДАТА ПРИХОДА</t>
  </si>
  <si>
    <t>ДАТА УХОДА</t>
  </si>
  <si>
    <t>ДНЕЙ НА ТЕРМИНАЛЕ</t>
  </si>
  <si>
    <t>АРЕНДА</t>
  </si>
  <si>
    <t>ПРОСТОЙ</t>
  </si>
  <si>
    <t>&lt; Здесь БУДЕТ число</t>
  </si>
  <si>
    <r>
      <t>&lt;</t>
    </r>
    <r>
      <rPr>
        <sz val="11"/>
        <color theme="1"/>
        <rFont val="Arial"/>
        <family val="2"/>
        <charset val="204"/>
      </rPr>
      <t xml:space="preserve"> Здесь БУДЕТ число</t>
    </r>
  </si>
  <si>
    <t>20 футов</t>
  </si>
  <si>
    <t>40 футов</t>
  </si>
  <si>
    <t>Терминалы</t>
  </si>
  <si>
    <t>Терминал A</t>
  </si>
  <si>
    <t>Терминал B</t>
  </si>
  <si>
    <t>Терминал C</t>
  </si>
  <si>
    <t>Терминал</t>
  </si>
  <si>
    <t>Тип контейнера</t>
  </si>
  <si>
    <r>
      <t>Формула:</t>
    </r>
    <r>
      <rPr>
        <sz val="11"/>
        <color theme="1"/>
        <rFont val="SF Mono"/>
      </rPr>
      <t>=ЕСЛИ(B6 &gt; B5; B6 - B5 + 1; 0)</t>
    </r>
  </si>
  <si>
    <t>ТЕРМИНАЛ A 20 футов</t>
  </si>
  <si>
    <t>ТЕРМИНАЛ A 40 футов</t>
  </si>
  <si>
    <t>ТЕРМИНАЛ B 20 футов</t>
  </si>
  <si>
    <t>ТЕРМИНАЛ C 20 футов</t>
  </si>
  <si>
    <t>ТЕРМИНАЛ C 40 футов</t>
  </si>
  <si>
    <t>ТЕРМИНАЛ B 40 футов</t>
  </si>
  <si>
    <t>ВАЛЮТА</t>
  </si>
  <si>
    <t>ТЕРМИНАЛ</t>
  </si>
  <si>
    <t>ИТОГО</t>
  </si>
  <si>
    <t>Формат даты дд.мм.гггг</t>
  </si>
  <si>
    <t>Выпадающий список из  Справочники! B4;B8</t>
  </si>
  <si>
    <t>Стоимость первых дней (до 10)</t>
  </si>
  <si>
    <t>Стоимость средних дней (от 10 до 30)</t>
  </si>
  <si>
    <t>Стоимость поздних дней (&gt;30)</t>
  </si>
  <si>
    <r>
      <t xml:space="preserve">Выпадающий список из </t>
    </r>
    <r>
      <rPr>
        <sz val="11"/>
        <color theme="1"/>
        <rFont val="SF Mono"/>
      </rPr>
      <t>Справочники! B2:B3</t>
    </r>
  </si>
  <si>
    <r>
      <t xml:space="preserve">Выпадающий список из </t>
    </r>
    <r>
      <rPr>
        <sz val="11"/>
        <color theme="1"/>
        <rFont val="SF Mono"/>
      </rPr>
      <t>Справочники! B9:B11</t>
    </r>
  </si>
  <si>
    <t>Итого</t>
  </si>
  <si>
    <t>USD</t>
  </si>
  <si>
    <t>Эх прокачу!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</si>
</sst>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yy;@"/>
  </numFmts>
  <fonts count="5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1D1D20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SF Mono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left" vertical="center" indent="1"/>
    </xf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1" fillId="0" borderId="0" xfId="0" applyFont="1"/>
    <xf numFmtId="1" fontId="0" fillId="0" borderId="0" xfId="0" applyNumberFormat="1"/>
    <xf numFmtId="1" fontId="0" fillId="0" borderId="0" xfId="0" quotePrefix="1" applyNumberFormat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152400</xdr:rowOff>
        </xdr:from>
        <xdr:to>
          <xdr:col>1</xdr:col>
          <xdr:colOff>9525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запись в историю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C11"/>
  <sheetViews>
    <sheetView tabSelected="1" workbookViewId="0">
      <selection activeCell="C16" sqref="C16"/>
    </sheetView>
  </sheetViews>
  <sheetFormatPr defaultRowHeight="15"/>
  <cols>
    <col min="1" max="1" width="22.85546875" customWidth="1"/>
    <col min="2" max="2" width="16.85546875" customWidth="1"/>
    <col min="3" max="3" width="45.85546875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40</v>
      </c>
      <c r="B2" t="s">
        <v>38</v>
      </c>
      <c r="C2" s="3" t="s">
        <v>58</v>
      </c>
    </row>
    <row r="3" spans="1:3">
      <c r="A3" s="3" t="s">
        <v>41</v>
      </c>
      <c r="B3" t="s">
        <v>34</v>
      </c>
      <c r="C3" s="3" t="s">
        <v>57</v>
      </c>
    </row>
    <row r="4" spans="1:3">
      <c r="A4" t="s">
        <v>11</v>
      </c>
      <c r="B4" t="s">
        <v>61</v>
      </c>
      <c r="C4" s="3" t="s">
        <v>53</v>
      </c>
    </row>
    <row r="5" spans="1:3">
      <c r="A5" t="s">
        <v>12</v>
      </c>
      <c r="B5" s="5">
        <v>45749</v>
      </c>
      <c r="C5" s="3" t="s">
        <v>52</v>
      </c>
    </row>
    <row r="6" spans="1:3">
      <c r="A6" t="s">
        <v>13</v>
      </c>
      <c r="B6" s="5">
        <v>45752</v>
      </c>
      <c r="C6" s="3" t="s">
        <v>52</v>
      </c>
    </row>
    <row r="7" spans="1:3">
      <c r="A7" t="s">
        <v>14</v>
      </c>
      <c r="B7" s="7">
        <f>IF(B6&gt;B5, B6-B5+1, 0)</f>
        <v>4</v>
      </c>
      <c r="C7" s="3" t="s">
        <v>42</v>
      </c>
    </row>
    <row r="8" spans="1:3">
      <c r="A8" t="s">
        <v>15</v>
      </c>
      <c r="B8" s="8">
        <f ca="1">IF(B7 &lt;= INDEX(INDIRECT("'" &amp; B4 &amp; "'!$B$3:$G$3"), MATCH(B2 &amp; " " &amp; B3, INDIRECT("'" &amp; B4 &amp; "'!$B$1:$G$1"), 0)),
    0,
    IF(B7 &lt;= 10 + INDEX(INDIRECT("'" &amp; B4 &amp; "'!$B$3:$G$3"), MATCH(B2 &amp; " " &amp; B3, INDIRECT("'" &amp; B4 &amp; "'!$B$1:$G$1"), 0)),
        INDEX(INDIRECT("'" &amp; B4 &amp; "'!$B$4:$G$4"), MATCH(B2 &amp; " " &amp; B3, INDIRECT("'" &amp; B4 &amp; "'!$B$1:$G$1"), 0)) * (B7 - INDEX(INDIRECT("'" &amp; B4 &amp; "'!$B$3:$G$3"), MATCH(B2 &amp; " " &amp; B3, INDIRECT("'" &amp; B4 &amp; "'!$B$1:$G$1"), 0))),
        IF(B7 &lt;= 30 + INDEX(INDIRECT("'" &amp; B4 &amp; "'!$B$3:$G$3"), MATCH(B2 &amp; " " &amp; B3, INDIRECT("'" &amp; B4 &amp; "'!$B$1:$G$1"), 0)),
            INDEX(INDIRECT("'" &amp; B4 &amp; "'!$B$5:$G$5"), MATCH(B2 &amp; " " &amp; B3, INDIRECT("'" &amp; B4 &amp; "'!$B$1:$G$1"), 0)) * (B7 - INDEX(INDIRECT("'" &amp; B4 &amp; "'!$B$3:$G$3"), MATCH(B2 &amp; " " &amp; B3, INDIRECT("'" &amp; B4 &amp; "'!$B$1:$G$1"), 0))),
            INDEX(INDIRECT("'" &amp; B4 &amp; "'!$B$6:$G$6"), MATCH(B2 &amp; " " &amp; B3, INDIRECT("'" &amp; B4 &amp; "'!$B$1:$G$1"), 0)) * (B7 - INDEX(INDIRECT("'" &amp; B4 &amp; "'!$B$3:$G$3"), MATCH(B2 &amp; " " &amp; B3, INDIRECT("'" &amp; B4 &amp; "'!$B$1:$G$1"), 0)))
        )
    )
)</f>
        <v>0</v>
      </c>
      <c r="C8" s="3" t="s">
        <v>32</v>
      </c>
    </row>
    <row r="9" spans="1:3">
      <c r="A9" t="s">
        <v>16</v>
      </c>
      <c r="B9" s="8">
        <f ca="1">IF(B7 &lt;= INDEX(INDIRECT("'" &amp; B4 &amp; "'!$B$7:$G$7"), MATCH(B2 &amp; " " &amp; B3, INDIRECT("'" &amp; B4 &amp; "'!$B$1:$G$1"), 0)),
    0,
    INDEX(INDIRECT("'" &amp; B4 &amp; "'!$B$8:$G$8"), MATCH(B2 &amp; " " &amp; B3, INDIRECT("'" &amp; B4 &amp; "'!$B$1:$G$1"), 0)) *
    (B7 - INDEX(INDIRECT("'" &amp; B4 &amp; "'!$B$7:$G$7"), MATCH(B2 &amp; " " &amp; B3, INDIRECT("'" &amp; B4 &amp; "'!$B$1:$G$1"), 0)))
)</f>
        <v>0</v>
      </c>
      <c r="C9" s="4" t="s">
        <v>33</v>
      </c>
    </row>
    <row r="10" spans="1:3">
      <c r="A10" t="s">
        <v>18</v>
      </c>
      <c r="B10" t="str">
        <f ca="1">INDEX(
    INDIRECT("'" &amp; B4 &amp; "'!$B$2:$G$2"),
    MATCH(B2 &amp; " " &amp; B3, INDIRECT("'" &amp; B4 &amp; "'!$B$1:$G$1"), 0)
)</f>
        <v>RUB</v>
      </c>
      <c r="C10" s="6"/>
    </row>
    <row r="11" spans="1:3">
      <c r="A11" t="s">
        <v>59</v>
      </c>
      <c r="B11" s="7">
        <f ca="1">SUM(B8,B9)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ЗаписатьВИсторию">
                <anchor moveWithCells="1" sizeWithCells="1">
                  <from>
                    <xdr:col>0</xdr:col>
                    <xdr:colOff>9525</xdr:colOff>
                    <xdr:row>10</xdr:row>
                    <xdr:rowOff>152400</xdr:rowOff>
                  </from>
                  <to>
                    <xdr:col>1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Справочники!$B$9:$B$11</xm:f>
          </x14:formula1>
          <xm:sqref>B2</xm:sqref>
        </x14:dataValidation>
        <x14:dataValidation type="list" allowBlank="1" showInputMessage="1" showErrorMessage="1">
          <x14:formula1>
            <xm:f>Справочники!$B$2:$B$3</xm:f>
          </x14:formula1>
          <xm:sqref>B3</xm:sqref>
        </x14:dataValidation>
        <x14:dataValidation type="list" allowBlank="1" showInputMessage="1" showErrorMessage="1">
          <x14:formula1>
            <xm:f>Справочники!$B$4:$B$8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1"/>
  <sheetViews>
    <sheetView workbookViewId="0">
      <selection activeCell="B2" sqref="B2"/>
    </sheetView>
  </sheetViews>
  <sheetFormatPr defaultRowHeight="15"/>
  <cols>
    <col min="1" max="1" width="3.140625" bestFit="1" customWidth="1"/>
    <col min="2" max="2" width="15.42578125" style="5" customWidth="1"/>
    <col min="3" max="3" width="14" bestFit="1" customWidth="1"/>
    <col min="4" max="4" width="8.7109375" bestFit="1" customWidth="1"/>
    <col min="5" max="5" width="11.7109375" bestFit="1" customWidth="1"/>
    <col min="6" max="6" width="15.7109375" style="5" bestFit="1" customWidth="1"/>
    <col min="7" max="7" width="15.28515625" style="5" bestFit="1" customWidth="1"/>
    <col min="8" max="8" width="21" customWidth="1"/>
    <col min="9" max="9" width="8.85546875" bestFit="1" customWidth="1"/>
    <col min="10" max="10" width="9.85546875" bestFit="1" customWidth="1"/>
    <col min="11" max="11" width="8.42578125" bestFit="1" customWidth="1"/>
    <col min="12" max="12" width="7.140625" bestFit="1" customWidth="1"/>
  </cols>
  <sheetData>
    <row r="1" spans="1:12">
      <c r="A1" t="s">
        <v>23</v>
      </c>
      <c r="B1" s="5" t="s">
        <v>24</v>
      </c>
      <c r="C1" t="s">
        <v>26</v>
      </c>
      <c r="D1" t="s">
        <v>25</v>
      </c>
      <c r="E1" t="s">
        <v>50</v>
      </c>
      <c r="F1" s="5" t="s">
        <v>27</v>
      </c>
      <c r="G1" s="5" t="s">
        <v>28</v>
      </c>
      <c r="H1" t="s">
        <v>29</v>
      </c>
      <c r="I1" t="s">
        <v>49</v>
      </c>
      <c r="J1" t="s">
        <v>31</v>
      </c>
      <c r="K1" t="s">
        <v>30</v>
      </c>
      <c r="L1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"/>
  <sheetViews>
    <sheetView workbookViewId="0">
      <selection activeCell="B5" sqref="B5"/>
    </sheetView>
  </sheetViews>
  <sheetFormatPr defaultRowHeight="15"/>
  <cols>
    <col min="1" max="1" width="16.85546875" customWidth="1"/>
    <col min="2" max="2" width="30.85546875" customWidth="1"/>
  </cols>
  <sheetData>
    <row r="1" spans="1:2">
      <c r="A1" t="s">
        <v>6</v>
      </c>
      <c r="B1" t="s">
        <v>7</v>
      </c>
    </row>
    <row r="2" spans="1:2">
      <c r="A2" t="s">
        <v>0</v>
      </c>
      <c r="B2" t="s">
        <v>34</v>
      </c>
    </row>
    <row r="3" spans="1:2">
      <c r="B3" t="s">
        <v>35</v>
      </c>
    </row>
    <row r="4" spans="1:2">
      <c r="A4" t="s">
        <v>1</v>
      </c>
      <c r="B4" t="s">
        <v>61</v>
      </c>
    </row>
    <row r="5" spans="1:2">
      <c r="B5" t="s">
        <v>2</v>
      </c>
    </row>
    <row r="6" spans="1:2">
      <c r="B6" t="s">
        <v>3</v>
      </c>
    </row>
    <row r="7" spans="1:2">
      <c r="B7" t="s">
        <v>4</v>
      </c>
    </row>
    <row r="8" spans="1:2">
      <c r="B8" t="s">
        <v>5</v>
      </c>
    </row>
    <row r="9" spans="1:2">
      <c r="A9" s="3" t="s">
        <v>36</v>
      </c>
      <c r="B9" s="3" t="s">
        <v>37</v>
      </c>
    </row>
    <row r="10" spans="1:2">
      <c r="B10" s="3" t="s">
        <v>38</v>
      </c>
    </row>
    <row r="11" spans="1:2">
      <c r="B11" s="3" t="s">
        <v>39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21"/>
  <sheetViews>
    <sheetView workbookViewId="0">
      <selection activeCell="C19" sqref="C19"/>
    </sheetView>
  </sheetViews>
  <sheetFormatPr defaultRowHeight="15"/>
  <cols>
    <col min="1" max="1" width="38.42578125" customWidth="1"/>
    <col min="2" max="3" width="20.85546875" customWidth="1"/>
    <col min="4" max="4" width="20.28515625" customWidth="1"/>
    <col min="5" max="5" width="20.42578125" customWidth="1"/>
    <col min="6" max="6" width="20.85546875" customWidth="1"/>
    <col min="7" max="7" width="20.425781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54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55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56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5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  <row r="17" spans="1:5">
      <c r="A17" s="2"/>
      <c r="B17" s="2"/>
      <c r="C17" s="2"/>
      <c r="D17" s="2"/>
      <c r="E17" s="2"/>
    </row>
    <row r="18" spans="1:5">
      <c r="A18" s="2"/>
      <c r="B18" s="2"/>
      <c r="C18" s="2"/>
      <c r="D18" s="2"/>
      <c r="E18" s="2"/>
    </row>
    <row r="19" spans="1:5">
      <c r="A19" s="2"/>
      <c r="B19" s="2"/>
      <c r="C19" s="2"/>
      <c r="D19" s="2"/>
      <c r="E19" s="2"/>
    </row>
    <row r="20" spans="1:5">
      <c r="A20" s="2"/>
      <c r="B20" s="2"/>
      <c r="C20" s="2"/>
      <c r="D20" s="2"/>
      <c r="E20" s="2"/>
    </row>
    <row r="21" spans="1:5">
      <c r="A21" s="2"/>
      <c r="B21" s="1"/>
      <c r="C21" s="1"/>
      <c r="D21" s="1"/>
      <c r="E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8"/>
  <sheetViews>
    <sheetView workbookViewId="0">
      <selection activeCell="G3" sqref="G3"/>
    </sheetView>
  </sheetViews>
  <sheetFormatPr defaultRowHeight="15"/>
  <cols>
    <col min="1" max="1" width="30.85546875" customWidth="1"/>
    <col min="2" max="2" width="21.140625" customWidth="1"/>
    <col min="3" max="3" width="20.7109375" customWidth="1"/>
    <col min="4" max="4" width="21" customWidth="1"/>
    <col min="5" max="6" width="21.140625" bestFit="1" customWidth="1"/>
    <col min="7" max="7" width="19.8554687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60</v>
      </c>
      <c r="C2" t="s">
        <v>60</v>
      </c>
      <c r="D2" t="s">
        <v>60</v>
      </c>
      <c r="E2" t="s">
        <v>60</v>
      </c>
      <c r="F2" t="s">
        <v>60</v>
      </c>
      <c r="G2" t="s">
        <v>60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54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55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56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8"/>
  <sheetViews>
    <sheetView workbookViewId="0">
      <selection activeCell="A6" sqref="A4:A6"/>
    </sheetView>
  </sheetViews>
  <sheetFormatPr defaultRowHeight="15"/>
  <cols>
    <col min="1" max="1" width="30" customWidth="1"/>
    <col min="2" max="2" width="21.28515625" customWidth="1"/>
    <col min="3" max="3" width="21.5703125" customWidth="1"/>
    <col min="4" max="4" width="20.85546875" customWidth="1"/>
    <col min="5" max="5" width="20.42578125" customWidth="1"/>
    <col min="6" max="6" width="21.7109375" customWidth="1"/>
    <col min="7" max="7" width="20.28515625" customWidth="1"/>
    <col min="8" max="8" width="9.1406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54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55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56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8"/>
  <sheetViews>
    <sheetView workbookViewId="0">
      <selection activeCell="L16" sqref="L16"/>
    </sheetView>
  </sheetViews>
  <sheetFormatPr defaultRowHeight="15"/>
  <cols>
    <col min="2" max="2" width="20.5703125" customWidth="1"/>
    <col min="3" max="4" width="20.28515625" customWidth="1"/>
    <col min="5" max="5" width="20.140625" customWidth="1"/>
    <col min="6" max="6" width="21.5703125" customWidth="1"/>
    <col min="7" max="7" width="20.140625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54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55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56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8"/>
  <sheetViews>
    <sheetView workbookViewId="0">
      <selection activeCell="G8" sqref="A1:G8"/>
    </sheetView>
  </sheetViews>
  <sheetFormatPr defaultRowHeight="15"/>
  <cols>
    <col min="1" max="1" width="31.140625" customWidth="1"/>
    <col min="2" max="2" width="21.5703125" customWidth="1"/>
    <col min="3" max="3" width="20.5703125" customWidth="1"/>
    <col min="4" max="4" width="20.85546875" customWidth="1"/>
    <col min="5" max="5" width="20.28515625" customWidth="1"/>
    <col min="6" max="7" width="21.140625" bestFit="1" customWidth="1"/>
  </cols>
  <sheetData>
    <row r="1" spans="1:7">
      <c r="A1" t="s">
        <v>17</v>
      </c>
      <c r="B1" t="s">
        <v>43</v>
      </c>
      <c r="C1" t="s">
        <v>44</v>
      </c>
      <c r="D1" t="s">
        <v>45</v>
      </c>
      <c r="E1" t="s">
        <v>48</v>
      </c>
      <c r="F1" t="s">
        <v>46</v>
      </c>
      <c r="G1" t="s">
        <v>47</v>
      </c>
    </row>
    <row r="2" spans="1:7">
      <c r="A2" t="s">
        <v>18</v>
      </c>
      <c r="B2" t="s">
        <v>19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</row>
    <row r="3" spans="1:7">
      <c r="A3" t="s">
        <v>20</v>
      </c>
      <c r="B3">
        <v>2</v>
      </c>
      <c r="C3">
        <v>2</v>
      </c>
      <c r="D3">
        <v>5</v>
      </c>
      <c r="E3">
        <v>5</v>
      </c>
      <c r="F3">
        <v>7</v>
      </c>
      <c r="G3">
        <v>7</v>
      </c>
    </row>
    <row r="4" spans="1:7">
      <c r="A4" t="s">
        <v>54</v>
      </c>
      <c r="B4">
        <v>200</v>
      </c>
      <c r="C4">
        <v>300</v>
      </c>
      <c r="D4">
        <v>150</v>
      </c>
      <c r="E4">
        <v>100</v>
      </c>
      <c r="F4">
        <v>120</v>
      </c>
      <c r="G4">
        <v>200</v>
      </c>
    </row>
    <row r="5" spans="1:7">
      <c r="A5" t="s">
        <v>55</v>
      </c>
      <c r="B5">
        <v>400</v>
      </c>
      <c r="C5">
        <v>450</v>
      </c>
      <c r="D5">
        <v>300</v>
      </c>
      <c r="E5">
        <v>200</v>
      </c>
      <c r="F5">
        <v>150</v>
      </c>
      <c r="G5">
        <v>250</v>
      </c>
    </row>
    <row r="6" spans="1:7">
      <c r="A6" t="s">
        <v>56</v>
      </c>
      <c r="B6">
        <v>500</v>
      </c>
      <c r="C6">
        <v>600</v>
      </c>
      <c r="D6">
        <v>415</v>
      </c>
      <c r="E6">
        <v>300</v>
      </c>
      <c r="F6">
        <v>300</v>
      </c>
      <c r="G6">
        <v>500</v>
      </c>
    </row>
    <row r="7" spans="1:7">
      <c r="A7" t="s">
        <v>21</v>
      </c>
      <c r="B7">
        <v>10</v>
      </c>
      <c r="C7">
        <v>10</v>
      </c>
      <c r="D7">
        <v>15</v>
      </c>
      <c r="E7">
        <v>20</v>
      </c>
      <c r="F7">
        <v>5</v>
      </c>
      <c r="G7">
        <v>10</v>
      </c>
    </row>
    <row r="8" spans="1:7">
      <c r="A8" t="s">
        <v>22</v>
      </c>
      <c r="B8">
        <v>10</v>
      </c>
      <c r="C8">
        <v>12</v>
      </c>
      <c r="D8">
        <v>8</v>
      </c>
      <c r="E8">
        <v>5</v>
      </c>
      <c r="F8">
        <v>10</v>
      </c>
      <c r="G8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История</vt:lpstr>
      <vt:lpstr>Справочники</vt:lpstr>
      <vt:lpstr>Эх прокачу!</vt:lpstr>
      <vt:lpstr>Перевозчик_2</vt:lpstr>
      <vt:lpstr>Перевозчик_3</vt:lpstr>
      <vt:lpstr>Перевозчик_4</vt:lpstr>
      <vt:lpstr>Перевозчик_5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Birsk</dc:creator>
  <cp:lastModifiedBy>Elena</cp:lastModifiedBy>
  <dcterms:created xsi:type="dcterms:W3CDTF">2025-06-17T10:27:57Z</dcterms:created>
  <dcterms:modified xsi:type="dcterms:W3CDTF">2025-06-22T11:52:00Z</dcterms:modified>
</cp:coreProperties>
</file>